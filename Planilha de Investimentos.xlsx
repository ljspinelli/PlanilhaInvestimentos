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992c434d940fa3/Cursos e Outros/Cursos DIO/Bootcamp Satander Excel IA e Claude/"/>
    </mc:Choice>
  </mc:AlternateContent>
  <xr:revisionPtr revIDLastSave="580" documentId="8_{E833AFCE-20D0-487D-B349-7E26FDF8BCBC}" xr6:coauthVersionLast="47" xr6:coauthVersionMax="47" xr10:uidLastSave="{ACDE0B5E-02AE-4310-8808-3D2FC4F82FEB}"/>
  <bookViews>
    <workbookView xWindow="-110" yWindow="-110" windowWidth="19420" windowHeight="11500" xr2:uid="{EF66DC25-745A-438D-B909-1C82BBCDDA1C}"/>
  </bookViews>
  <sheets>
    <sheet name="Spinvest" sheetId="1" r:id="rId1"/>
    <sheet name="Planilha2" sheetId="2" state="hidden" r:id="rId2"/>
  </sheets>
  <definedNames>
    <definedName name="anos">Spinvest!$D$20</definedName>
    <definedName name="aporte">Spinvest!$D$19</definedName>
    <definedName name="aporte2">Spinvest!$C$33</definedName>
    <definedName name="dividendos">Spinvest!$D$23</definedName>
    <definedName name="patrimonio">Spinvest!$D$22</definedName>
    <definedName name="rendimento_carteira">Spinvest!$D$15</definedName>
    <definedName name="salario">Spinvest!$B$14</definedName>
    <definedName name="sugestaodeaporte">Spinvest!$D$16</definedName>
    <definedName name="taxamensal">Spinvest!$D$21</definedName>
    <definedName name="valor_futuro">Spinvest!$D$22</definedName>
    <definedName name="Vencimento">Spinvest!$D$14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C37" i="1"/>
  <c r="C38" i="1"/>
  <c r="C39" i="1"/>
  <c r="C40" i="1"/>
  <c r="C41" i="1"/>
  <c r="C36" i="1"/>
  <c r="A20" i="2"/>
  <c r="A19" i="2"/>
  <c r="A18" i="2"/>
  <c r="A17" i="2"/>
  <c r="A16" i="2"/>
  <c r="A15" i="2"/>
  <c r="A14" i="2"/>
  <c r="A13" i="2"/>
  <c r="A12" i="2"/>
  <c r="A11" i="2"/>
  <c r="A10" i="2"/>
  <c r="A9" i="2"/>
  <c r="A4" i="2"/>
  <c r="A5" i="2"/>
  <c r="A6" i="2"/>
  <c r="A7" i="2"/>
  <c r="A8" i="2"/>
  <c r="A3" i="2"/>
  <c r="C33" i="1"/>
  <c r="D22" i="1"/>
  <c r="D23" i="1" s="1"/>
  <c r="C30" i="1"/>
  <c r="D30" i="1" s="1"/>
  <c r="C29" i="1"/>
  <c r="D29" i="1" s="1"/>
  <c r="C28" i="1"/>
  <c r="D28" i="1" s="1"/>
  <c r="C27" i="1"/>
  <c r="D27" i="1" s="1"/>
  <c r="C26" i="1"/>
  <c r="D26" i="1" s="1"/>
  <c r="D37" i="1" l="1"/>
  <c r="D38" i="1"/>
  <c r="D40" i="1"/>
  <c r="D41" i="1"/>
  <c r="D36" i="1"/>
  <c r="D39" i="1"/>
  <c r="D42" i="1" l="1"/>
</calcChain>
</file>

<file path=xl/sharedStrings.xml><?xml version="1.0" encoding="utf-8"?>
<sst xmlns="http://schemas.openxmlformats.org/spreadsheetml/2006/main" count="69" uniqueCount="34">
  <si>
    <t>Por Quantos Anos?</t>
  </si>
  <si>
    <t>Quanto Investir por mês?</t>
  </si>
  <si>
    <t>Taxa de Rendimento Mensal</t>
  </si>
  <si>
    <t>Patrimônio Acumulado</t>
  </si>
  <si>
    <t>Dividendos Mensais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</si>
  <si>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</si>
  <si>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</si>
  <si>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</si>
  <si>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</si>
  <si>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</si>
  <si>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</si>
  <si>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25 anos?</t>
  </si>
  <si>
    <t>Dividendos</t>
  </si>
  <si>
    <t>Configurações</t>
  </si>
  <si>
    <t>Salário</t>
  </si>
  <si>
    <t>Rendimento da Carteira</t>
  </si>
  <si>
    <t>Sugestão de Investimento</t>
  </si>
  <si>
    <t>Perfis</t>
  </si>
  <si>
    <t>Conservador</t>
  </si>
  <si>
    <t>Tipo de FII</t>
  </si>
  <si>
    <t>Papel</t>
  </si>
  <si>
    <t>Tijolo</t>
  </si>
  <si>
    <t>Híbrido</t>
  </si>
  <si>
    <t>FOFs</t>
  </si>
  <si>
    <t>Desenvolvimento</t>
  </si>
  <si>
    <t>Hotelaria</t>
  </si>
  <si>
    <t>Percentual Sugerido</t>
  </si>
  <si>
    <t>Valor</t>
  </si>
  <si>
    <t>Valor a Ser Investido Mensal</t>
  </si>
  <si>
    <t>Chave</t>
  </si>
  <si>
    <t>Perfil</t>
  </si>
  <si>
    <t>Moderado</t>
  </si>
  <si>
    <t>Agressivo</t>
  </si>
  <si>
    <t>Margem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</si>
</sst>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5" formatCode="0.000%"/>
    <numFmt numFmtId="166" formatCode="0.0000%"/>
    <numFmt numFmtId="170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rial Rounded MT Bold"/>
      <family val="2"/>
    </font>
    <font>
      <b/>
      <sz val="14"/>
      <color theme="0"/>
      <name val="Arial Rounded MT Bold"/>
      <family val="2"/>
    </font>
    <font>
      <sz val="14"/>
      <name val="Arial Rounded MT Bold"/>
      <family val="2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color theme="0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B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dotted">
        <color theme="2" tint="-0.499984740745262"/>
      </right>
      <top style="dotted">
        <color theme="2" tint="-0.499984740745262"/>
      </top>
      <bottom style="dotted">
        <color theme="2" tint="-0.499984740745262"/>
      </bottom>
      <diagonal/>
    </border>
    <border>
      <left style="dotted">
        <color theme="2" tint="-0.499984740745262"/>
      </left>
      <right style="dotted">
        <color theme="2" tint="-0.499984740745262"/>
      </right>
      <top style="dotted">
        <color theme="2" tint="-0.499984740745262"/>
      </top>
      <bottom style="dotted">
        <color theme="2" tint="-0.499984740745262"/>
      </bottom>
      <diagonal/>
    </border>
    <border>
      <left style="dotted">
        <color theme="2" tint="-0.499984740745262"/>
      </left>
      <right style="medium">
        <color theme="1"/>
      </right>
      <top style="dotted">
        <color theme="2" tint="-0.499984740745262"/>
      </top>
      <bottom style="dotted">
        <color theme="2" tint="-0.499984740745262"/>
      </bottom>
      <diagonal/>
    </border>
    <border>
      <left style="medium">
        <color theme="1"/>
      </left>
      <right style="dotted">
        <color theme="2" tint="-0.499984740745262"/>
      </right>
      <top style="dotted">
        <color theme="2" tint="-0.499984740745262"/>
      </top>
      <bottom style="medium">
        <color theme="1"/>
      </bottom>
      <diagonal/>
    </border>
    <border>
      <left style="dotted">
        <color theme="2" tint="-0.499984740745262"/>
      </left>
      <right style="dotted">
        <color theme="2" tint="-0.499984740745262"/>
      </right>
      <top style="dotted">
        <color theme="2" tint="-0.499984740745262"/>
      </top>
      <bottom style="medium">
        <color theme="1"/>
      </bottom>
      <diagonal/>
    </border>
    <border>
      <left style="dotted">
        <color theme="2" tint="-0.499984740745262"/>
      </left>
      <right style="medium">
        <color theme="1"/>
      </right>
      <top style="dotted">
        <color theme="2" tint="-0.499984740745262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9" fontId="7" fillId="0" borderId="0" xfId="2" applyFont="1" applyAlignment="1">
      <alignment horizontal="center"/>
    </xf>
    <xf numFmtId="170" fontId="7" fillId="0" borderId="0" xfId="0" applyNumberFormat="1" applyFont="1" applyAlignment="1">
      <alignment horizontal="center" vertical="center"/>
    </xf>
    <xf numFmtId="0" fontId="7" fillId="4" borderId="5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170" fontId="8" fillId="3" borderId="7" xfId="1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170" fontId="8" fillId="3" borderId="10" xfId="1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170" fontId="10" fillId="3" borderId="6" xfId="1" applyNumberFormat="1" applyFont="1" applyFill="1" applyBorder="1" applyAlignment="1">
      <alignment horizontal="center" vertical="center"/>
    </xf>
    <xf numFmtId="170" fontId="10" fillId="3" borderId="7" xfId="1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/>
    </xf>
    <xf numFmtId="170" fontId="10" fillId="3" borderId="9" xfId="1" applyNumberFormat="1" applyFont="1" applyFill="1" applyBorder="1" applyAlignment="1">
      <alignment horizontal="center" vertical="center"/>
    </xf>
    <xf numFmtId="170" fontId="10" fillId="3" borderId="1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70" fontId="6" fillId="4" borderId="0" xfId="0" applyNumberFormat="1" applyFont="1" applyFill="1" applyBorder="1" applyAlignment="1">
      <alignment horizontal="center" vertical="center"/>
    </xf>
    <xf numFmtId="0" fontId="11" fillId="5" borderId="0" xfId="0" applyFont="1" applyFill="1"/>
    <xf numFmtId="9" fontId="11" fillId="5" borderId="0" xfId="2" applyFont="1" applyFill="1" applyAlignment="1">
      <alignment horizontal="center"/>
    </xf>
    <xf numFmtId="0" fontId="9" fillId="0" borderId="0" xfId="0" applyFont="1"/>
    <xf numFmtId="0" fontId="9" fillId="4" borderId="0" xfId="0" applyFont="1" applyFill="1"/>
    <xf numFmtId="9" fontId="9" fillId="4" borderId="0" xfId="2" applyFont="1" applyFill="1" applyAlignment="1">
      <alignment horizontal="center"/>
    </xf>
    <xf numFmtId="0" fontId="12" fillId="3" borderId="0" xfId="0" applyFont="1" applyFill="1"/>
    <xf numFmtId="9" fontId="12" fillId="3" borderId="0" xfId="2" applyFont="1" applyFill="1" applyAlignment="1">
      <alignment horizontal="center"/>
    </xf>
    <xf numFmtId="0" fontId="12" fillId="2" borderId="0" xfId="0" applyFont="1" applyFill="1"/>
    <xf numFmtId="9" fontId="12" fillId="2" borderId="0" xfId="2" applyFont="1" applyFill="1" applyAlignment="1">
      <alignment horizontal="center"/>
    </xf>
    <xf numFmtId="9" fontId="9" fillId="0" borderId="0" xfId="2" applyFont="1" applyAlignment="1">
      <alignment horizontal="center"/>
    </xf>
    <xf numFmtId="170" fontId="7" fillId="0" borderId="0" xfId="0" applyNumberFormat="1" applyFont="1" applyAlignment="1">
      <alignment horizontal="center" vertical="center"/>
    </xf>
    <xf numFmtId="170" fontId="7" fillId="0" borderId="7" xfId="1" applyNumberFormat="1" applyFont="1" applyBorder="1" applyAlignment="1" applyProtection="1">
      <alignment horizontal="center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70" fontId="7" fillId="0" borderId="10" xfId="1" applyNumberFormat="1" applyFont="1" applyBorder="1" applyAlignment="1" applyProtection="1">
      <alignment horizontal="center" vertical="center"/>
      <protection locked="0"/>
    </xf>
    <xf numFmtId="170" fontId="7" fillId="0" borderId="7" xfId="1" applyNumberFormat="1" applyFont="1" applyBorder="1" applyAlignment="1" applyProtection="1">
      <alignment horizontal="center" vertical="center"/>
      <protection locked="0"/>
    </xf>
    <xf numFmtId="1" fontId="7" fillId="0" borderId="7" xfId="1" applyNumberFormat="1" applyFont="1" applyBorder="1" applyAlignment="1" applyProtection="1">
      <alignment horizontal="center" vertical="center"/>
      <protection locked="0"/>
    </xf>
    <xf numFmtId="166" fontId="7" fillId="0" borderId="7" xfId="2" applyNumberFormat="1" applyFont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7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48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Spinvest!$B$36:$B$41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Spinvest!$C$36:$C$41</c:f>
              <c:numCache>
                <c:formatCode>0%</c:formatCode>
                <c:ptCount val="6"/>
                <c:pt idx="0">
                  <c:v>0.3</c:v>
                </c:pt>
                <c:pt idx="1">
                  <c:v>0.4</c:v>
                </c:pt>
                <c:pt idx="2">
                  <c:v>0.1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C-4FB1-8ACA-B5E09353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53976</xdr:colOff>
      <xdr:row>3</xdr:row>
      <xdr:rowOff>57150</xdr:rowOff>
    </xdr:from>
    <xdr:to>
      <xdr:col>3</xdr:col>
      <xdr:colOff>1447274</xdr:colOff>
      <xdr:row>11</xdr:row>
      <xdr:rowOff>69850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B704F6-8AF5-A429-2680-1FCCAB1D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6" y="57150"/>
          <a:ext cx="6416148" cy="148590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42</xdr:row>
      <xdr:rowOff>133350</xdr:rowOff>
    </xdr:from>
    <xdr:to>
      <xdr:col>3</xdr:col>
      <xdr:colOff>1409700</xdr:colOff>
      <xdr:row>60</xdr:row>
      <xdr:rowOff>146050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016E62-E568-7B71-00D4-CC0650F53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F3EC-A708-4212-888C-F816A60EEDF5}">
  <dimension ref="A1:XFD68"/>
  <sheetViews>
    <sheetView showGridLines="0" tabSelected="1" topLeftCell="A4" workbookViewId="0">
      <selection activeCell="C37" sqref="C37"/>
    </sheetView>
  </sheetViews>
  <sheetFormatPr defaultColWidth="0" defaultRowHeight="14" customHeight="1" zeroHeight="1" x14ac:dyDescent="0.35"/>
  <cols>
    <col min="1" max="1" width="1.1796875" customWidth="1"/>
    <col min="2" max="3" width="35.36328125" customWidth="1"/>
    <col min="4" max="4" width="20.81640625" customWidth="1"/>
    <col min="5" max="5" width="0.81640625" customWidth="1"/>
    <col min="6" max="6" width="2.81640625" hidden="1" customWidth="1"/>
    <col min="7" max="8" width="16.36328125" hidden="1"/>
    <col min="11" max="16383" width="16.36328125" hidden="1"/>
    <col min="16384" max="16384" width="2.36328125" hidden="1" customWidth="1"/>
  </cols>
  <sheetData>
    <row r="1" spans="2:4" ht="14.5" hidden="1" x14ac:dyDescent="0.35"/>
    <row r="2" spans="2:4" ht="14.5" hidden="1" x14ac:dyDescent="0.35"/>
    <row r="3" spans="2:4" ht="14.5" hidden="1" x14ac:dyDescent="0.35"/>
    <row r="4" spans="2:4" ht="14.5" x14ac:dyDescent="0.35"/>
    <row r="5" spans="2:4" ht="14.5" x14ac:dyDescent="0.35"/>
    <row r="6" spans="2:4" ht="14.5" x14ac:dyDescent="0.35"/>
    <row r="7" spans="2:4" ht="14.5" x14ac:dyDescent="0.35"/>
    <row r="8" spans="2:4" ht="14.5" x14ac:dyDescent="0.35"/>
    <row r="9" spans="2:4" ht="14.5" x14ac:dyDescent="0.35"/>
    <row r="10" spans="2:4" ht="14.5" x14ac:dyDescent="0.35"/>
    <row r="11" spans="2:4" ht="14.5" x14ac:dyDescent="0.35"/>
    <row r="12" spans="2:4" ht="15" thickBot="1" x14ac:dyDescent="0.4"/>
    <row r="13" spans="2:4" ht="24" customHeight="1" x14ac:dyDescent="0.35">
      <c r="B13" s="8" t="s">
        <v>13</v>
      </c>
      <c r="C13" s="10"/>
      <c r="D13" s="9"/>
    </row>
    <row r="14" spans="2:4" ht="16" x14ac:dyDescent="0.4">
      <c r="B14" s="22" t="s">
        <v>14</v>
      </c>
      <c r="C14" s="23"/>
      <c r="D14" s="53">
        <v>30000</v>
      </c>
    </row>
    <row r="15" spans="2:4" ht="16" x14ac:dyDescent="0.4">
      <c r="B15" s="22" t="s">
        <v>15</v>
      </c>
      <c r="C15" s="23"/>
      <c r="D15" s="54">
        <v>7.0000000000000001E-3</v>
      </c>
    </row>
    <row r="16" spans="2:4" ht="16.5" thickBot="1" x14ac:dyDescent="0.45">
      <c r="B16" s="24" t="s">
        <v>16</v>
      </c>
      <c r="C16" s="25"/>
      <c r="D16" s="55">
        <f>Vencimento*30%</f>
        <v>9000</v>
      </c>
    </row>
    <row r="17" spans="1:9" ht="7" customHeight="1" thickBot="1" x14ac:dyDescent="0.4"/>
    <row r="18" spans="1:9" ht="24" customHeight="1" x14ac:dyDescent="0.45">
      <c r="B18" s="11" t="s">
        <v>5</v>
      </c>
      <c r="C18" s="12"/>
      <c r="D18" s="6"/>
      <c r="G18" s="1"/>
      <c r="H18" s="1"/>
      <c r="I18" s="1"/>
    </row>
    <row r="19" spans="1:9" ht="18.5" x14ac:dyDescent="0.45">
      <c r="B19" s="26" t="s">
        <v>1</v>
      </c>
      <c r="C19" s="27"/>
      <c r="D19" s="56">
        <v>5000</v>
      </c>
      <c r="G19" s="1"/>
      <c r="H19" s="1"/>
      <c r="I19" s="1"/>
    </row>
    <row r="20" spans="1:9" ht="18.5" x14ac:dyDescent="0.45">
      <c r="B20" s="26" t="s">
        <v>0</v>
      </c>
      <c r="C20" s="27"/>
      <c r="D20" s="57">
        <v>5</v>
      </c>
      <c r="G20" s="1"/>
      <c r="H20" s="1"/>
      <c r="I20" s="1"/>
    </row>
    <row r="21" spans="1:9" ht="18.5" x14ac:dyDescent="0.45">
      <c r="B21" s="26" t="s">
        <v>2</v>
      </c>
      <c r="C21" s="27"/>
      <c r="D21" s="58">
        <v>1.0789999999999999E-2</v>
      </c>
      <c r="G21" s="1"/>
      <c r="H21" s="1"/>
      <c r="I21" s="1"/>
    </row>
    <row r="22" spans="1:9" ht="18.5" x14ac:dyDescent="0.45">
      <c r="B22" s="28" t="s">
        <v>3</v>
      </c>
      <c r="C22" s="29"/>
      <c r="D22" s="30">
        <f>FV(taxamensal,anos*12,(aporte*-1),0,0)</f>
        <v>418884.56999243819</v>
      </c>
      <c r="E22" s="1"/>
      <c r="F22" s="1"/>
      <c r="G22" s="1"/>
      <c r="H22" s="1"/>
      <c r="I22" s="1"/>
    </row>
    <row r="23" spans="1:9" ht="19" thickBot="1" x14ac:dyDescent="0.5">
      <c r="B23" s="31" t="s">
        <v>4</v>
      </c>
      <c r="C23" s="32"/>
      <c r="D23" s="33">
        <f>patrimonio*rendimento_carteira</f>
        <v>2932.1919899470672</v>
      </c>
      <c r="E23" s="1"/>
      <c r="F23" s="1"/>
      <c r="G23" s="1"/>
      <c r="H23" s="1"/>
      <c r="I23" s="1"/>
    </row>
    <row r="24" spans="1:9" ht="7" customHeight="1" thickBot="1" x14ac:dyDescent="0.5">
      <c r="B24" s="1"/>
      <c r="C24" s="1"/>
      <c r="D24" s="1"/>
      <c r="E24" s="1"/>
      <c r="F24" s="1"/>
      <c r="G24" s="1"/>
      <c r="H24" s="1"/>
      <c r="I24" s="1"/>
    </row>
    <row r="25" spans="1:9" ht="24" customHeight="1" x14ac:dyDescent="0.45">
      <c r="B25" s="2" t="s">
        <v>6</v>
      </c>
      <c r="C25" s="3"/>
      <c r="D25" s="7" t="s">
        <v>12</v>
      </c>
      <c r="E25" s="1"/>
      <c r="F25" s="1"/>
      <c r="G25" s="1"/>
      <c r="H25" s="1"/>
      <c r="I25" s="1"/>
    </row>
    <row r="26" spans="1:9" ht="18.5" x14ac:dyDescent="0.45">
      <c r="A26" s="4">
        <v>2</v>
      </c>
      <c r="B26" s="34" t="s">
        <v>7</v>
      </c>
      <c r="C26" s="35">
        <f>FV($D$21,$A26*12,-$D$19,0,0)</f>
        <v>136138.1364882261</v>
      </c>
      <c r="D26" s="36">
        <f>C26*rendimento_carteira</f>
        <v>952.96695541758265</v>
      </c>
      <c r="E26" s="1"/>
      <c r="F26" s="1"/>
      <c r="G26" s="1"/>
      <c r="H26" s="1"/>
      <c r="I26" s="1"/>
    </row>
    <row r="27" spans="1:9" ht="18.5" x14ac:dyDescent="0.45">
      <c r="A27" s="4">
        <v>5</v>
      </c>
      <c r="B27" s="34" t="s">
        <v>8</v>
      </c>
      <c r="C27" s="35">
        <f>FV($D$21,$A27*12,-$D$19,0,0)</f>
        <v>418884.56999243819</v>
      </c>
      <c r="D27" s="36">
        <f>C27*rendimento_carteira</f>
        <v>2932.1919899470672</v>
      </c>
      <c r="E27" s="1"/>
      <c r="F27" s="1"/>
      <c r="G27" s="1"/>
      <c r="H27" s="1"/>
      <c r="I27" s="1"/>
    </row>
    <row r="28" spans="1:9" ht="18.5" x14ac:dyDescent="0.45">
      <c r="A28" s="4">
        <v>10</v>
      </c>
      <c r="B28" s="34" t="s">
        <v>9</v>
      </c>
      <c r="C28" s="35">
        <f>FV($D$21,$A28*12,-$D$19,0,0)</f>
        <v>1216421.062650861</v>
      </c>
      <c r="D28" s="36">
        <f>C28*rendimento_carteira</f>
        <v>8514.9474385560279</v>
      </c>
      <c r="E28" s="1"/>
      <c r="F28" s="1"/>
      <c r="G28" s="1"/>
      <c r="H28" s="1"/>
      <c r="I28" s="1"/>
    </row>
    <row r="29" spans="1:9" ht="18.5" x14ac:dyDescent="0.45">
      <c r="A29" s="4">
        <v>20</v>
      </c>
      <c r="B29" s="34" t="s">
        <v>10</v>
      </c>
      <c r="C29" s="35">
        <f>FV($D$21,$A29*12,-$D$19,0,0)</f>
        <v>5625992.0004854025</v>
      </c>
      <c r="D29" s="36">
        <f>C29*rendimento_carteira</f>
        <v>39381.944003397817</v>
      </c>
      <c r="E29" s="1"/>
      <c r="F29" s="1"/>
      <c r="G29" s="1"/>
      <c r="H29" s="1"/>
      <c r="I29" s="1"/>
    </row>
    <row r="30" spans="1:9" ht="19" thickBot="1" x14ac:dyDescent="0.5">
      <c r="A30" s="4">
        <v>30</v>
      </c>
      <c r="B30" s="37" t="s">
        <v>11</v>
      </c>
      <c r="C30" s="38">
        <f>FV($D$21,$A30*12,-$D$19,0,0)</f>
        <v>21610848.275023572</v>
      </c>
      <c r="D30" s="39">
        <f>C30*rendimento_carteira</f>
        <v>151275.937925165</v>
      </c>
      <c r="E30" s="1"/>
      <c r="F30" s="1"/>
      <c r="G30" s="1"/>
      <c r="H30" s="1"/>
      <c r="I30" s="1"/>
    </row>
    <row r="31" spans="1:9" ht="7" customHeight="1" thickBot="1" x14ac:dyDescent="0.5">
      <c r="B31" s="1"/>
      <c r="C31" s="1"/>
      <c r="D31" s="1"/>
      <c r="E31" s="1"/>
      <c r="F31" s="1"/>
      <c r="G31" s="1"/>
      <c r="H31" s="1"/>
      <c r="I31" s="1"/>
    </row>
    <row r="32" spans="1:9" ht="24" customHeight="1" x14ac:dyDescent="0.45">
      <c r="B32" s="5" t="s">
        <v>17</v>
      </c>
      <c r="C32" s="59" t="s">
        <v>18</v>
      </c>
      <c r="D32" s="60"/>
      <c r="E32" s="1"/>
      <c r="F32" s="1"/>
      <c r="G32" s="1"/>
      <c r="H32" s="1"/>
      <c r="I32" s="1"/>
    </row>
    <row r="33" spans="2:9" s="14" customFormat="1" ht="23" customHeight="1" x14ac:dyDescent="0.35">
      <c r="B33" s="40" t="s">
        <v>28</v>
      </c>
      <c r="C33" s="52">
        <f>aporte</f>
        <v>5000</v>
      </c>
      <c r="D33" s="52"/>
      <c r="E33" s="13"/>
      <c r="F33" s="13"/>
      <c r="G33" s="13"/>
      <c r="H33" s="13"/>
      <c r="I33" s="13"/>
    </row>
    <row r="34" spans="2:9" ht="7" customHeight="1" x14ac:dyDescent="0.35"/>
    <row r="35" spans="2:9" ht="24" customHeight="1" x14ac:dyDescent="0.35">
      <c r="B35" s="17" t="s">
        <v>19</v>
      </c>
      <c r="C35" s="18" t="s">
        <v>26</v>
      </c>
      <c r="D35" s="18" t="s">
        <v>27</v>
      </c>
    </row>
    <row r="36" spans="2:9" ht="18.5" customHeight="1" x14ac:dyDescent="0.4">
      <c r="B36" s="19" t="s">
        <v>20</v>
      </c>
      <c r="C36" s="20">
        <f>VLOOKUP($C$32&amp;"-"&amp;$B36,Planilha2!$A$3:$D$20,4,0)</f>
        <v>0.3</v>
      </c>
      <c r="D36" s="21">
        <f>aporte2*C36</f>
        <v>1500</v>
      </c>
    </row>
    <row r="37" spans="2:9" ht="18.5" customHeight="1" x14ac:dyDescent="0.4">
      <c r="B37" s="19" t="s">
        <v>21</v>
      </c>
      <c r="C37" s="20">
        <f>VLOOKUP($C$32&amp;"-"&amp;$B37,Planilha2!$A$3:$D$20,4,0)</f>
        <v>0.4</v>
      </c>
      <c r="D37" s="21">
        <f>aporte2*C37</f>
        <v>2000</v>
      </c>
    </row>
    <row r="38" spans="2:9" ht="18.5" customHeight="1" x14ac:dyDescent="0.4">
      <c r="B38" s="19" t="s">
        <v>22</v>
      </c>
      <c r="C38" s="20">
        <f>VLOOKUP($C$32&amp;"-"&amp;$B38,Planilha2!$A$3:$D$20,4,0)</f>
        <v>0.1</v>
      </c>
      <c r="D38" s="21">
        <f>aporte2*C38</f>
        <v>500</v>
      </c>
    </row>
    <row r="39" spans="2:9" ht="18.5" customHeight="1" x14ac:dyDescent="0.4">
      <c r="B39" s="19" t="s">
        <v>23</v>
      </c>
      <c r="C39" s="20">
        <f>VLOOKUP($C$32&amp;"-"&amp;$B39,Planilha2!$A$3:$D$20,4,0)</f>
        <v>0.1</v>
      </c>
      <c r="D39" s="21">
        <f>aporte2*C39</f>
        <v>500</v>
      </c>
    </row>
    <row r="40" spans="2:9" ht="18.5" customHeight="1" x14ac:dyDescent="0.4">
      <c r="B40" s="19" t="s">
        <v>24</v>
      </c>
      <c r="C40" s="20">
        <f>VLOOKUP($C$32&amp;"-"&amp;$B40,Planilha2!$A$3:$D$20,4,0)</f>
        <v>0.05</v>
      </c>
      <c r="D40" s="21">
        <f>aporte2*C40</f>
        <v>250</v>
      </c>
    </row>
    <row r="41" spans="2:9" ht="18.5" customHeight="1" x14ac:dyDescent="0.4">
      <c r="B41" s="19" t="s">
        <v>25</v>
      </c>
      <c r="C41" s="20">
        <f>VLOOKUP($C$32&amp;"-"&amp;$B41,Planilha2!$A$3:$D$20,4,0)</f>
        <v>0.05</v>
      </c>
      <c r="D41" s="21">
        <f>aporte2*C41</f>
        <v>250</v>
      </c>
    </row>
    <row r="42" spans="2:9" ht="24" customHeight="1" x14ac:dyDescent="0.35">
      <c r="B42" s="15"/>
      <c r="C42" s="16"/>
      <c r="D42" s="41">
        <f>SUM(D36:D41)</f>
        <v>5000</v>
      </c>
    </row>
    <row r="43" spans="2:9" ht="14" customHeight="1" x14ac:dyDescent="0.35"/>
    <row r="44" spans="2:9" ht="14" customHeight="1" x14ac:dyDescent="0.35"/>
    <row r="45" spans="2:9" ht="14" customHeight="1" x14ac:dyDescent="0.35"/>
    <row r="46" spans="2:9" ht="14" customHeight="1" x14ac:dyDescent="0.35"/>
    <row r="47" spans="2:9" ht="14" customHeight="1" x14ac:dyDescent="0.35"/>
    <row r="48" spans="2:9" ht="14" customHeight="1" x14ac:dyDescent="0.35"/>
    <row r="49" customFormat="1" ht="14" customHeight="1" x14ac:dyDescent="0.35"/>
    <row r="50" customFormat="1" ht="14" customHeight="1" x14ac:dyDescent="0.35"/>
    <row r="51" customFormat="1" ht="14" customHeight="1" x14ac:dyDescent="0.35"/>
    <row r="52" customFormat="1" ht="14" customHeight="1" x14ac:dyDescent="0.35"/>
    <row r="53" customFormat="1" ht="14" customHeight="1" x14ac:dyDescent="0.35"/>
    <row r="54" customFormat="1" ht="14" customHeight="1" x14ac:dyDescent="0.35"/>
    <row r="55" customFormat="1" ht="14" customHeight="1" x14ac:dyDescent="0.35"/>
    <row r="56" customFormat="1" ht="14" customHeight="1" x14ac:dyDescent="0.35"/>
    <row r="57" customFormat="1" ht="14" customHeight="1" x14ac:dyDescent="0.35"/>
    <row r="58" customFormat="1" ht="14" customHeight="1" x14ac:dyDescent="0.35"/>
    <row r="59" customFormat="1" ht="14" customHeight="1" x14ac:dyDescent="0.35"/>
    <row r="60" customFormat="1" ht="14" customHeight="1" x14ac:dyDescent="0.35"/>
    <row r="61" customFormat="1" ht="14" customHeight="1" x14ac:dyDescent="0.35"/>
    <row r="62" customFormat="1" ht="14" customHeight="1" x14ac:dyDescent="0.35"/>
    <row r="63" customFormat="1" ht="14" hidden="1" customHeight="1" x14ac:dyDescent="0.35"/>
    <row r="64" customFormat="1" ht="14" hidden="1" customHeight="1" x14ac:dyDescent="0.35"/>
    <row r="65" customFormat="1" ht="14" hidden="1" customHeight="1" x14ac:dyDescent="0.35"/>
    <row r="66" customFormat="1" ht="14" hidden="1" customHeight="1" x14ac:dyDescent="0.35"/>
    <row r="67" customFormat="1" ht="14" hidden="1" customHeight="1" x14ac:dyDescent="0.35"/>
    <row r="68" customFormat="1" ht="14" hidden="1" customHeight="1" x14ac:dyDescent="0.35"/>
  </sheetData>
  <sheetProtection algorithmName="SHA-512" hashValue="p+CYYJwzCl1ZY0xlNEXBZJLEK4oHzrD6TtUoDXh9lf64pTBth31ss7DnruNzBeu1aqp6JRDXD0ve+bbkRVGvng==" saltValue="bYfzXHrC++PjlD4UBXHw3Q==" spinCount="100000" sheet="1" objects="1" scenarios="1"/>
  <mergeCells count="13">
    <mergeCell ref="B22:C22"/>
    <mergeCell ref="B23:C23"/>
    <mergeCell ref="C32:D32"/>
    <mergeCell ref="C33:D33"/>
    <mergeCell ref="B18:C18"/>
    <mergeCell ref="B25:C25"/>
    <mergeCell ref="B13:C13"/>
    <mergeCell ref="B14:C14"/>
    <mergeCell ref="B15:C15"/>
    <mergeCell ref="B16:C16"/>
    <mergeCell ref="B19:C19"/>
    <mergeCell ref="B20:C20"/>
    <mergeCell ref="B21:C21"/>
  </mergeCells>
  <dataValidations count="1">
    <dataValidation type="list" allowBlank="1" showInputMessage="1" showErrorMessage="1" sqref="C32" xr:uid="{AE85852D-A0E6-4FF7-8D95-3D391325C810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7E5A-46CE-4546-BD01-3B3F901BC962}">
  <dimension ref="A2:D20"/>
  <sheetViews>
    <sheetView topLeftCell="A2" workbookViewId="0">
      <selection activeCell="D9" sqref="D9"/>
    </sheetView>
  </sheetViews>
  <sheetFormatPr defaultRowHeight="16" x14ac:dyDescent="0.4"/>
  <cols>
    <col min="1" max="1" width="28.90625" style="44" bestFit="1" customWidth="1"/>
    <col min="2" max="2" width="12.08984375" style="44" bestFit="1" customWidth="1"/>
    <col min="3" max="3" width="16.6328125" style="44" bestFit="1" customWidth="1"/>
    <col min="4" max="4" width="8.1796875" style="51" bestFit="1" customWidth="1"/>
    <col min="5" max="16384" width="8.7265625" style="44"/>
  </cols>
  <sheetData>
    <row r="2" spans="1:4" x14ac:dyDescent="0.4">
      <c r="A2" s="42" t="s">
        <v>29</v>
      </c>
      <c r="B2" s="42" t="s">
        <v>30</v>
      </c>
      <c r="C2" s="42" t="s">
        <v>19</v>
      </c>
      <c r="D2" s="43" t="s">
        <v>33</v>
      </c>
    </row>
    <row r="3" spans="1:4" x14ac:dyDescent="0.4">
      <c r="A3" s="45" t="str">
        <f>B3&amp;"-"&amp;C3</f>
        <v>Conservador-Papel</v>
      </c>
      <c r="B3" s="45" t="s">
        <v>18</v>
      </c>
      <c r="C3" s="45" t="s">
        <v>20</v>
      </c>
      <c r="D3" s="46">
        <v>0.3</v>
      </c>
    </row>
    <row r="4" spans="1:4" x14ac:dyDescent="0.4">
      <c r="A4" s="45" t="str">
        <f t="shared" ref="A4:A20" si="0">B4&amp;"-"&amp;C4</f>
        <v>Conservador-Tijolo</v>
      </c>
      <c r="B4" s="45" t="s">
        <v>18</v>
      </c>
      <c r="C4" s="45" t="s">
        <v>21</v>
      </c>
      <c r="D4" s="46">
        <v>0.4</v>
      </c>
    </row>
    <row r="5" spans="1:4" x14ac:dyDescent="0.4">
      <c r="A5" s="45" t="str">
        <f t="shared" si="0"/>
        <v>Conservador-Híbrido</v>
      </c>
      <c r="B5" s="45" t="s">
        <v>18</v>
      </c>
      <c r="C5" s="45" t="s">
        <v>22</v>
      </c>
      <c r="D5" s="46">
        <v>0.1</v>
      </c>
    </row>
    <row r="6" spans="1:4" x14ac:dyDescent="0.4">
      <c r="A6" s="45" t="str">
        <f t="shared" si="0"/>
        <v>Conservador-FOFs</v>
      </c>
      <c r="B6" s="45" t="s">
        <v>18</v>
      </c>
      <c r="C6" s="45" t="s">
        <v>23</v>
      </c>
      <c r="D6" s="46">
        <v>0.1</v>
      </c>
    </row>
    <row r="7" spans="1:4" x14ac:dyDescent="0.4">
      <c r="A7" s="45" t="str">
        <f t="shared" si="0"/>
        <v>Conservador-Desenvolvimento</v>
      </c>
      <c r="B7" s="45" t="s">
        <v>18</v>
      </c>
      <c r="C7" s="45" t="s">
        <v>24</v>
      </c>
      <c r="D7" s="46">
        <v>0.05</v>
      </c>
    </row>
    <row r="8" spans="1:4" x14ac:dyDescent="0.4">
      <c r="A8" s="45" t="str">
        <f t="shared" si="0"/>
        <v>Conservador-Hotelaria</v>
      </c>
      <c r="B8" s="45" t="s">
        <v>18</v>
      </c>
      <c r="C8" s="45" t="s">
        <v>25</v>
      </c>
      <c r="D8" s="46">
        <v>0.05</v>
      </c>
    </row>
    <row r="9" spans="1:4" x14ac:dyDescent="0.4">
      <c r="A9" s="47" t="str">
        <f t="shared" si="0"/>
        <v>Moderado-Papel</v>
      </c>
      <c r="B9" s="47" t="s">
        <v>31</v>
      </c>
      <c r="C9" s="47" t="s">
        <v>20</v>
      </c>
      <c r="D9" s="48">
        <v>0.32</v>
      </c>
    </row>
    <row r="10" spans="1:4" x14ac:dyDescent="0.4">
      <c r="A10" s="47" t="str">
        <f t="shared" si="0"/>
        <v>Moderado-Tijolo</v>
      </c>
      <c r="B10" s="47" t="s">
        <v>31</v>
      </c>
      <c r="C10" s="47" t="s">
        <v>21</v>
      </c>
      <c r="D10" s="48">
        <v>0.3</v>
      </c>
    </row>
    <row r="11" spans="1:4" x14ac:dyDescent="0.4">
      <c r="A11" s="47" t="str">
        <f t="shared" si="0"/>
        <v>Moderado-Híbrido</v>
      </c>
      <c r="B11" s="47" t="s">
        <v>31</v>
      </c>
      <c r="C11" s="47" t="s">
        <v>22</v>
      </c>
      <c r="D11" s="48">
        <v>0.08</v>
      </c>
    </row>
    <row r="12" spans="1:4" x14ac:dyDescent="0.4">
      <c r="A12" s="47" t="str">
        <f t="shared" si="0"/>
        <v>Moderado-FOFs</v>
      </c>
      <c r="B12" s="47" t="s">
        <v>31</v>
      </c>
      <c r="C12" s="47" t="s">
        <v>23</v>
      </c>
      <c r="D12" s="48">
        <v>0.1</v>
      </c>
    </row>
    <row r="13" spans="1:4" x14ac:dyDescent="0.4">
      <c r="A13" s="47" t="str">
        <f t="shared" si="0"/>
        <v>Moderado-Desenvolvimento</v>
      </c>
      <c r="B13" s="47" t="s">
        <v>31</v>
      </c>
      <c r="C13" s="47" t="s">
        <v>24</v>
      </c>
      <c r="D13" s="48">
        <v>0.1</v>
      </c>
    </row>
    <row r="14" spans="1:4" x14ac:dyDescent="0.4">
      <c r="A14" s="47" t="str">
        <f t="shared" si="0"/>
        <v>Moderado-Hotelaria</v>
      </c>
      <c r="B14" s="47" t="s">
        <v>31</v>
      </c>
      <c r="C14" s="47" t="s">
        <v>25</v>
      </c>
      <c r="D14" s="48">
        <v>0.1</v>
      </c>
    </row>
    <row r="15" spans="1:4" x14ac:dyDescent="0.4">
      <c r="A15" s="49" t="str">
        <f t="shared" si="0"/>
        <v>Agressivo-Papel</v>
      </c>
      <c r="B15" s="49" t="s">
        <v>32</v>
      </c>
      <c r="C15" s="49" t="s">
        <v>20</v>
      </c>
      <c r="D15" s="50">
        <v>0.5</v>
      </c>
    </row>
    <row r="16" spans="1:4" x14ac:dyDescent="0.4">
      <c r="A16" s="49" t="str">
        <f t="shared" si="0"/>
        <v>Agressivo-Tijolo</v>
      </c>
      <c r="B16" s="49" t="s">
        <v>32</v>
      </c>
      <c r="C16" s="49" t="s">
        <v>21</v>
      </c>
      <c r="D16" s="50">
        <v>0.1</v>
      </c>
    </row>
    <row r="17" spans="1:4" x14ac:dyDescent="0.4">
      <c r="A17" s="49" t="str">
        <f t="shared" si="0"/>
        <v>Agressivo-Híbrido</v>
      </c>
      <c r="B17" s="49" t="s">
        <v>32</v>
      </c>
      <c r="C17" s="49" t="s">
        <v>22</v>
      </c>
      <c r="D17" s="50">
        <v>0.05</v>
      </c>
    </row>
    <row r="18" spans="1:4" x14ac:dyDescent="0.4">
      <c r="A18" s="49" t="str">
        <f t="shared" si="0"/>
        <v>Agressivo-FOFs</v>
      </c>
      <c r="B18" s="49" t="s">
        <v>32</v>
      </c>
      <c r="C18" s="49" t="s">
        <v>23</v>
      </c>
      <c r="D18" s="50">
        <v>0.05</v>
      </c>
    </row>
    <row r="19" spans="1:4" x14ac:dyDescent="0.4">
      <c r="A19" s="49" t="str">
        <f t="shared" si="0"/>
        <v>Agressivo-Desenvolvimento</v>
      </c>
      <c r="B19" s="49" t="s">
        <v>32</v>
      </c>
      <c r="C19" s="49" t="s">
        <v>24</v>
      </c>
      <c r="D19" s="50">
        <v>0.2</v>
      </c>
    </row>
    <row r="20" spans="1:4" x14ac:dyDescent="0.4">
      <c r="A20" s="49" t="str">
        <f t="shared" si="0"/>
        <v>Agressivo-Hotelaria</v>
      </c>
      <c r="B20" s="49" t="s">
        <v>32</v>
      </c>
      <c r="C20" s="49" t="s">
        <v>25</v>
      </c>
      <c r="D20" s="5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Spinvest</vt:lpstr>
      <vt:lpstr>Planilha2</vt:lpstr>
      <vt:lpstr>anos</vt:lpstr>
      <vt:lpstr>aporte</vt:lpstr>
      <vt:lpstr>aporte2</vt:lpstr>
      <vt:lpstr>dividendos</vt:lpstr>
      <vt:lpstr>patrimonio</vt:lpstr>
      <vt:lpstr>rendimento_carteira</vt:lpstr>
      <vt:lpstr>salario</vt:lpstr>
      <vt:lpstr>sugestaodeaporte</vt:lpstr>
      <vt:lpstr>taxamensal</vt:lpstr>
      <vt:lpstr>valor_futuro</vt:lpstr>
      <vt:lpstr>Vencimento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Lauro Spinelli</dc:creator>
  <cp:lastModifiedBy>Lauro Spinelli</cp:lastModifiedBy>
  <dcterms:created xsi:type="dcterms:W3CDTF">2026-09-05T18:15:53Z</dcterms:created>
  <dcterms:modified xsi:type="dcterms:W3CDTF">2026-09-06T00:01:38Z</dcterms:modified>
</cp:coreProperties>
</file>